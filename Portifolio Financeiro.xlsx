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7-DIO PLATAFORMA\Santander- Excel com IA e Claude\"/>
    </mc:Choice>
  </mc:AlternateContent>
  <xr:revisionPtr revIDLastSave="0" documentId="13_ncr:1_{8F29AE6A-7EC1-4A13-AB1A-A20D3B1C26EB}" xr6:coauthVersionLast="47" xr6:coauthVersionMax="47" xr10:uidLastSave="{00000000-0000-0000-0000-000000000000}"/>
  <bookViews>
    <workbookView xWindow="-120" yWindow="-120" windowWidth="24240" windowHeight="13140" xr2:uid="{02DA83F7-FA31-4E31-9160-09AD424B70B2}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Planilha1!$D$14</definedName>
    <definedName name="salario">Planilha1!$D$13</definedName>
    <definedName name="sugestao">Planilha1!$D$15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2" i="1" l="1"/>
  <c r="B15" i="2"/>
  <c r="B16" i="2"/>
  <c r="B17" i="2"/>
  <c r="B18" i="2"/>
  <c r="B19" i="2"/>
  <c r="B20" i="2"/>
  <c r="B9" i="2"/>
  <c r="B10" i="2"/>
  <c r="B11" i="2"/>
  <c r="B12" i="2"/>
  <c r="B13" i="2"/>
  <c r="B14" i="2"/>
  <c r="B4" i="2"/>
  <c r="B5" i="2"/>
  <c r="B6" i="2"/>
  <c r="B7" i="2"/>
  <c r="B8" i="2"/>
  <c r="B3" i="2"/>
  <c r="C37" i="1"/>
  <c r="D37" i="1" s="1"/>
  <c r="C38" i="1"/>
  <c r="D38" i="1" s="1"/>
  <c r="C39" i="1"/>
  <c r="D39" i="1" s="1"/>
  <c r="C40" i="1"/>
  <c r="D40" i="1" s="1"/>
  <c r="C41" i="1"/>
  <c r="D41" i="1" s="1"/>
  <c r="C36" i="1"/>
  <c r="D36" i="1" s="1"/>
  <c r="C33" i="1"/>
  <c r="D21" i="1"/>
  <c r="D22" i="1" s="1"/>
  <c r="D15" i="1"/>
  <c r="C26" i="1"/>
  <c r="D26" i="1" s="1"/>
  <c r="C27" i="1"/>
  <c r="D27" i="1" s="1"/>
  <c r="C28" i="1"/>
  <c r="D28" i="1" s="1"/>
  <c r="C29" i="1"/>
  <c r="D29" i="1" s="1"/>
  <c r="C25" i="1"/>
  <c r="D25" i="1" s="1"/>
</calcChain>
</file>

<file path=xl/sharedStrings.xml><?xml version="1.0" encoding="utf-8"?>
<sst xmlns="http://schemas.openxmlformats.org/spreadsheetml/2006/main" count="69" uniqueCount="34">
  <si>
    <t>Quanto invertir por mês?</t>
  </si>
  <si>
    <t>Por quanto tempo?</t>
  </si>
  <si>
    <t>Taxa de rendimento mensal?</t>
  </si>
  <si>
    <t>Dividendos mensais?</t>
  </si>
  <si>
    <t>Patrimônio Acumulado?</t>
  </si>
  <si>
    <t>INVESTIMENTO MENSAL</t>
  </si>
  <si>
    <t>CENÁRIOS</t>
  </si>
  <si>
    <t>Em 2 anos</t>
  </si>
  <si>
    <t>Em 5 anos</t>
  </si>
  <si>
    <t>Em 10 anos</t>
  </si>
  <si>
    <t>Em 20 anos</t>
  </si>
  <si>
    <t>em 30 anos</t>
  </si>
  <si>
    <t>CONFIGURAÇÕES</t>
  </si>
  <si>
    <t>Salário</t>
  </si>
  <si>
    <t>Rendimento Carteira</t>
  </si>
  <si>
    <t>Dividendo</t>
  </si>
  <si>
    <t>PERFIL</t>
  </si>
  <si>
    <t>Agressivo</t>
  </si>
  <si>
    <t>Valor a ser investido por mês</t>
  </si>
  <si>
    <t>TIPO DE FII</t>
  </si>
  <si>
    <t>Percentual Sugerido</t>
  </si>
  <si>
    <t>Valor</t>
  </si>
  <si>
    <t>PAPEL</t>
  </si>
  <si>
    <t>TIJOLO</t>
  </si>
  <si>
    <t>HIBRIDOS</t>
  </si>
  <si>
    <t>FOFs</t>
  </si>
  <si>
    <t>DESENVOLVIMENTO</t>
  </si>
  <si>
    <t>Conservador</t>
  </si>
  <si>
    <t>CHAVE</t>
  </si>
  <si>
    <t>TIPO FII</t>
  </si>
  <si>
    <t>%</t>
  </si>
  <si>
    <t>Moderado</t>
  </si>
  <si>
    <t>HOTELARIAS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</si>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</sst>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 tint="0.24997711111789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b/>
      <sz val="14"/>
      <color rgb="FF3F3F76"/>
      <name val="Aptos Narrow"/>
      <family val="2"/>
      <scheme val="minor"/>
    </font>
    <font>
      <sz val="14"/>
      <color rgb="FF3F3F7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medium">
        <color indexed="64"/>
      </top>
      <bottom/>
      <diagonal/>
    </border>
    <border>
      <left style="thin">
        <color rgb="FF7F7F7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64">
    <xf numFmtId="0" fontId="0" fillId="0" borderId="0" xfId="0"/>
    <xf numFmtId="0" fontId="7" fillId="3" borderId="2" xfId="0" applyFont="1" applyFill="1" applyBorder="1" applyAlignment="1">
      <alignment horizontal="center" vertical="center"/>
    </xf>
    <xf numFmtId="0" fontId="0" fillId="5" borderId="0" xfId="0" applyFill="1"/>
    <xf numFmtId="0" fontId="0" fillId="6" borderId="0" xfId="0" applyFill="1"/>
    <xf numFmtId="0" fontId="8" fillId="6" borderId="0" xfId="0" applyFont="1" applyFill="1"/>
    <xf numFmtId="164" fontId="3" fillId="7" borderId="12" xfId="0" applyNumberFormat="1" applyFont="1" applyFill="1" applyBorder="1" applyAlignment="1">
      <alignment horizontal="center"/>
    </xf>
    <xf numFmtId="8" fontId="3" fillId="7" borderId="28" xfId="0" applyNumberFormat="1" applyFont="1" applyFill="1" applyBorder="1" applyAlignment="1">
      <alignment horizontal="center" vertical="center"/>
    </xf>
    <xf numFmtId="8" fontId="3" fillId="7" borderId="31" xfId="0" applyNumberFormat="1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left" indent="2"/>
    </xf>
    <xf numFmtId="164" fontId="3" fillId="7" borderId="16" xfId="0" applyNumberFormat="1" applyFont="1" applyFill="1" applyBorder="1" applyAlignment="1">
      <alignment horizontal="center" vertical="center"/>
    </xf>
    <xf numFmtId="164" fontId="3" fillId="7" borderId="17" xfId="0" applyNumberFormat="1" applyFont="1" applyFill="1" applyBorder="1"/>
    <xf numFmtId="0" fontId="3" fillId="7" borderId="9" xfId="0" applyFont="1" applyFill="1" applyBorder="1" applyAlignment="1">
      <alignment horizontal="left" indent="2"/>
    </xf>
    <xf numFmtId="164" fontId="3" fillId="7" borderId="18" xfId="0" applyNumberFormat="1" applyFont="1" applyFill="1" applyBorder="1" applyAlignment="1">
      <alignment horizontal="center" vertical="center"/>
    </xf>
    <xf numFmtId="164" fontId="3" fillId="7" borderId="10" xfId="0" applyNumberFormat="1" applyFont="1" applyFill="1" applyBorder="1"/>
    <xf numFmtId="0" fontId="3" fillId="7" borderId="11" xfId="0" applyFont="1" applyFill="1" applyBorder="1" applyAlignment="1">
      <alignment horizontal="left" indent="2"/>
    </xf>
    <xf numFmtId="164" fontId="3" fillId="7" borderId="19" xfId="0" applyNumberFormat="1" applyFont="1" applyFill="1" applyBorder="1" applyAlignment="1">
      <alignment horizontal="center" vertical="center"/>
    </xf>
    <xf numFmtId="164" fontId="3" fillId="7" borderId="12" xfId="0" applyNumberFormat="1" applyFont="1" applyFill="1" applyBorder="1"/>
    <xf numFmtId="164" fontId="9" fillId="8" borderId="36" xfId="0" applyNumberFormat="1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10" fontId="9" fillId="8" borderId="28" xfId="0" applyNumberFormat="1" applyFont="1" applyFill="1" applyBorder="1" applyAlignment="1">
      <alignment horizontal="center" vertical="center"/>
    </xf>
    <xf numFmtId="164" fontId="9" fillId="8" borderId="25" xfId="1" applyNumberFormat="1" applyFont="1" applyFill="1" applyBorder="1" applyAlignment="1">
      <alignment horizontal="center"/>
    </xf>
    <xf numFmtId="10" fontId="9" fillId="8" borderId="10" xfId="2" applyNumberFormat="1" applyFont="1" applyFill="1" applyBorder="1" applyAlignment="1">
      <alignment horizontal="center"/>
    </xf>
    <xf numFmtId="0" fontId="5" fillId="6" borderId="0" xfId="0" applyFont="1" applyFill="1"/>
    <xf numFmtId="0" fontId="4" fillId="6" borderId="13" xfId="0" applyFont="1" applyFill="1" applyBorder="1"/>
    <xf numFmtId="0" fontId="4" fillId="6" borderId="14" xfId="0" applyFont="1" applyFill="1" applyBorder="1"/>
    <xf numFmtId="9" fontId="4" fillId="6" borderId="5" xfId="0" applyNumberFormat="1" applyFont="1" applyFill="1" applyBorder="1" applyAlignment="1">
      <alignment horizontal="center"/>
    </xf>
    <xf numFmtId="0" fontId="4" fillId="6" borderId="0" xfId="0" applyFont="1" applyFill="1"/>
    <xf numFmtId="9" fontId="4" fillId="6" borderId="0" xfId="0" applyNumberFormat="1" applyFont="1" applyFill="1" applyAlignment="1">
      <alignment horizontal="center"/>
    </xf>
    <xf numFmtId="0" fontId="11" fillId="2" borderId="41" xfId="3" applyFont="1" applyBorder="1"/>
    <xf numFmtId="0" fontId="11" fillId="2" borderId="42" xfId="3" applyFont="1" applyBorder="1" applyAlignment="1">
      <alignment horizontal="center"/>
    </xf>
    <xf numFmtId="0" fontId="12" fillId="2" borderId="43" xfId="3" applyFont="1" applyBorder="1"/>
    <xf numFmtId="0" fontId="6" fillId="6" borderId="3" xfId="0" applyFont="1" applyFill="1" applyBorder="1"/>
    <xf numFmtId="164" fontId="7" fillId="6" borderId="44" xfId="0" applyNumberFormat="1" applyFont="1" applyFill="1" applyBorder="1" applyAlignment="1">
      <alignment horizontal="center"/>
    </xf>
    <xf numFmtId="0" fontId="0" fillId="6" borderId="4" xfId="0" applyFill="1" applyBorder="1"/>
    <xf numFmtId="0" fontId="10" fillId="2" borderId="38" xfId="3" applyFont="1" applyBorder="1" applyAlignment="1">
      <alignment horizontal="center"/>
    </xf>
    <xf numFmtId="0" fontId="10" fillId="2" borderId="39" xfId="3" applyFont="1" applyBorder="1"/>
    <xf numFmtId="0" fontId="10" fillId="2" borderId="40" xfId="3" applyFont="1" applyBorder="1"/>
    <xf numFmtId="0" fontId="3" fillId="7" borderId="26" xfId="0" applyFont="1" applyFill="1" applyBorder="1" applyAlignment="1">
      <alignment horizontal="left" indent="2"/>
    </xf>
    <xf numFmtId="0" fontId="3" fillId="7" borderId="27" xfId="0" applyFont="1" applyFill="1" applyBorder="1" applyAlignment="1">
      <alignment horizontal="left" indent="2"/>
    </xf>
    <xf numFmtId="0" fontId="3" fillId="7" borderId="29" xfId="0" applyFont="1" applyFill="1" applyBorder="1" applyAlignment="1">
      <alignment horizontal="left" indent="2"/>
    </xf>
    <xf numFmtId="0" fontId="3" fillId="7" borderId="30" xfId="0" applyFont="1" applyFill="1" applyBorder="1" applyAlignment="1">
      <alignment horizontal="left" indent="2"/>
    </xf>
    <xf numFmtId="0" fontId="7" fillId="3" borderId="7" xfId="0" applyFont="1" applyFill="1" applyBorder="1" applyAlignment="1">
      <alignment horizontal="center" vertical="center"/>
    </xf>
    <xf numFmtId="0" fontId="7" fillId="3" borderId="37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0" fillId="7" borderId="24" xfId="0" applyFill="1" applyBorder="1" applyAlignment="1">
      <alignment horizontal="left" indent="2"/>
    </xf>
    <xf numFmtId="0" fontId="0" fillId="7" borderId="20" xfId="0" applyFill="1" applyBorder="1" applyAlignment="1">
      <alignment horizontal="left" indent="2"/>
    </xf>
    <xf numFmtId="0" fontId="0" fillId="7" borderId="9" xfId="0" applyFill="1" applyBorder="1" applyAlignment="1">
      <alignment horizontal="left" indent="2"/>
    </xf>
    <xf numFmtId="0" fontId="0" fillId="7" borderId="18" xfId="0" applyFill="1" applyBorder="1" applyAlignment="1">
      <alignment horizontal="left" indent="2"/>
    </xf>
    <xf numFmtId="0" fontId="0" fillId="7" borderId="11" xfId="0" applyFill="1" applyBorder="1" applyAlignment="1">
      <alignment horizontal="left" indent="2"/>
    </xf>
    <xf numFmtId="0" fontId="0" fillId="7" borderId="19" xfId="0" applyFill="1" applyBorder="1" applyAlignment="1">
      <alignment horizontal="left" indent="2"/>
    </xf>
    <xf numFmtId="0" fontId="0" fillId="7" borderId="34" xfId="0" applyFill="1" applyBorder="1" applyAlignment="1">
      <alignment horizontal="left" indent="2"/>
    </xf>
    <xf numFmtId="0" fontId="0" fillId="7" borderId="35" xfId="0" applyFill="1" applyBorder="1" applyAlignment="1">
      <alignment horizontal="left" indent="2"/>
    </xf>
    <xf numFmtId="0" fontId="0" fillId="7" borderId="26" xfId="0" applyFill="1" applyBorder="1" applyAlignment="1">
      <alignment horizontal="left" indent="2"/>
    </xf>
    <xf numFmtId="0" fontId="0" fillId="7" borderId="27" xfId="0" applyFill="1" applyBorder="1" applyAlignment="1">
      <alignment horizontal="left" indent="2"/>
    </xf>
    <xf numFmtId="9" fontId="0" fillId="8" borderId="0" xfId="2" applyFont="1" applyFill="1"/>
    <xf numFmtId="9" fontId="0" fillId="4" borderId="0" xfId="2" applyFont="1" applyFill="1"/>
    <xf numFmtId="9" fontId="0" fillId="9" borderId="0" xfId="2" applyFont="1" applyFill="1"/>
    <xf numFmtId="164" fontId="4" fillId="6" borderId="6" xfId="2" applyNumberFormat="1" applyFont="1" applyFill="1" applyBorder="1" applyAlignment="1">
      <alignment horizontal="center"/>
    </xf>
    <xf numFmtId="164" fontId="2" fillId="2" borderId="1" xfId="3" applyNumberFormat="1"/>
  </cellXfs>
  <cellStyles count="4">
    <cellStyle name="Entrada" xfId="3" builtinId="20"/>
    <cellStyle name="Moeda" xfId="1" builtinId="4"/>
    <cellStyle name="Normal" xfId="0" builtinId="0"/>
    <cellStyle name="Porcentagem" xfId="2" builtinId="5"/>
  </cellStyles>
  <dxfs count="0"/>
  <tableStyles count="1" defaultTableStyle="TableStyleMedium2" defaultPivotStyle="PivotStyleLight16">
    <tableStyle name="Invisible" pivot="0" table="0" count="0" xr9:uid="{82A45EB9-4DCE-44FD-ACBC-E5352B8851F7}"/>
  </tableStyles>
  <colors>
    <mruColors>
      <color rgb="FFDBB8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781050</xdr:colOff>
      <xdr:row>1</xdr:row>
      <xdr:rowOff>0</xdr:rowOff>
    </xdr:from>
    <xdr:to>
      <xdr:col>4</xdr:col>
      <xdr:colOff>552450</xdr:colOff>
      <xdr:row>9</xdr:row>
      <xdr:rowOff>85725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535BCF3B-03A9-B644-2E4A-4907F26D3BD3}"/>
            </a:ext>
          </a:extLst>
        </xdr:cNvPr>
        <xdr:cNvGrpSpPr/>
      </xdr:nvGrpSpPr>
      <xdr:grpSpPr>
        <a:xfrm>
          <a:off x="781050" y="190500"/>
          <a:ext cx="8677275" cy="1609725"/>
          <a:chOff x="476250" y="171450"/>
          <a:chExt cx="8420100" cy="1609725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54D6F59B-CBC5-0DD8-2A86-E3991C2B5B19}"/>
              </a:ext>
            </a:extLst>
          </xdr:cNvPr>
          <xdr:cNvGrpSpPr/>
        </xdr:nvGrpSpPr>
        <xdr:grpSpPr>
          <a:xfrm>
            <a:off x="540949" y="171450"/>
            <a:ext cx="8272216" cy="1581150"/>
            <a:chOff x="17390" y="0"/>
            <a:chExt cx="8424667" cy="1581150"/>
          </a:xfrm>
        </xdr:grpSpPr>
        <xdr:grpSp>
          <xdr:nvGrpSpPr>
            <xdr:cNvPr id="10" name="Agrupar 9">
              <a:extLst>
                <a:ext uri="{FF2B5EF4-FFF2-40B4-BE49-F238E27FC236}">
                  <a16:creationId xmlns:a16="http://schemas.microsoft.com/office/drawing/2014/main" id="{A4BAE20B-53D7-9125-80C6-7AADFFB31BD6}"/>
                </a:ext>
              </a:extLst>
            </xdr:cNvPr>
            <xdr:cNvGrpSpPr/>
          </xdr:nvGrpSpPr>
          <xdr:grpSpPr>
            <a:xfrm>
              <a:off x="17390" y="0"/>
              <a:ext cx="6639013" cy="1581150"/>
              <a:chOff x="1713652" y="1381125"/>
              <a:chExt cx="6949162" cy="1695450"/>
            </a:xfrm>
          </xdr:grpSpPr>
          <xdr:sp macro="" textlink="">
            <xdr:nvSpPr>
              <xdr:cNvPr id="9" name="Retângulo 8">
                <a:extLst>
                  <a:ext uri="{FF2B5EF4-FFF2-40B4-BE49-F238E27FC236}">
                    <a16:creationId xmlns:a16="http://schemas.microsoft.com/office/drawing/2014/main" id="{1E504921-A298-2840-F560-A5F41D23292B}"/>
                  </a:ext>
                </a:extLst>
              </xdr:cNvPr>
              <xdr:cNvSpPr/>
            </xdr:nvSpPr>
            <xdr:spPr>
              <a:xfrm>
                <a:off x="3738558" y="1381125"/>
                <a:ext cx="4924256" cy="1695450"/>
              </a:xfrm>
              <a:prstGeom prst="rect">
                <a:avLst/>
              </a:prstGeom>
              <a:solidFill>
                <a:schemeClr val="bg1"/>
              </a:solidFill>
              <a:ln w="9525"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scene3d>
                <a:camera prst="orthographicFront"/>
                <a:lightRig rig="harsh" dir="t"/>
              </a:scene3d>
              <a:sp3d>
                <a:bevelT prst="relaxedInset"/>
              </a:sp3d>
            </xdr:spPr>
            <xdr:txBody>
              <a:bodyPr wrap="square" lIns="91440" tIns="45720" rIns="91440" bIns="45720">
                <a:noAutofit/>
                <a:sp3d extrusionH="57150" prstMaterial="matte">
                  <a:bevelT w="63500" h="12700" prst="angle"/>
                  <a:contourClr>
                    <a:schemeClr val="bg1">
                      <a:lumMod val="65000"/>
                    </a:schemeClr>
                  </a:contourClr>
                </a:sp3d>
              </a:bodyPr>
              <a:lstStyle/>
              <a:p>
                <a:pPr algn="ctr"/>
                <a:r>
                  <a:rPr lang="pt-BR" sz="8000" b="1" cap="none" spc="0">
                    <a:ln/>
                    <a:solidFill>
                      <a:schemeClr val="accent3"/>
                    </a:solidFill>
                    <a:effectLst/>
                  </a:rPr>
                  <a:t>Investjoy</a:t>
                </a:r>
              </a:p>
            </xdr:txBody>
          </xdr:sp>
          <xdr:pic>
            <xdr:nvPicPr>
              <xdr:cNvPr id="8" name="Imagem 7">
                <a:extLst>
                  <a:ext uri="{FF2B5EF4-FFF2-40B4-BE49-F238E27FC236}">
                    <a16:creationId xmlns:a16="http://schemas.microsoft.com/office/drawing/2014/main" id="{8D158624-E76C-95D3-7701-E00B37FBAF94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1"/>
              <a:stretch>
                <a:fillRect/>
              </a:stretch>
            </xdr:blipFill>
            <xdr:spPr>
              <a:xfrm>
                <a:off x="1713652" y="1431928"/>
                <a:ext cx="2315750" cy="1616294"/>
              </a:xfrm>
              <a:prstGeom prst="rect">
                <a:avLst/>
              </a:prstGeom>
              <a:solidFill>
                <a:srgbClr val="FFFFFF">
                  <a:shade val="85000"/>
                </a:srgbClr>
              </a:solidFill>
              <a:ln w="88900" cap="sq">
                <a:solidFill>
                  <a:srgbClr val="FFFFFF"/>
                </a:solidFill>
                <a:miter lim="800000"/>
              </a:ln>
              <a:effectLst>
                <a:outerShdw blurRad="55000" dist="18000" dir="5400000" algn="tl" rotWithShape="0">
                  <a:srgbClr val="000000">
                    <a:alpha val="40000"/>
                  </a:srgbClr>
                </a:outerShdw>
              </a:effectLst>
              <a:scene3d>
                <a:camera prst="orthographicFront"/>
                <a:lightRig rig="twoPt" dir="t">
                  <a:rot lat="0" lon="0" rev="7200000"/>
                </a:lightRig>
              </a:scene3d>
              <a:sp3d>
                <a:bevelT w="25400" h="19050" prst="relaxedInset"/>
                <a:contourClr>
                  <a:srgbClr val="FFFFFF"/>
                </a:contourClr>
              </a:sp3d>
            </xdr:spPr>
          </xdr:pic>
        </xdr:grpSp>
        <xdr:pic>
          <xdr:nvPicPr>
            <xdr:cNvPr id="11" name="Imagem 10">
              <a:extLst>
                <a:ext uri="{FF2B5EF4-FFF2-40B4-BE49-F238E27FC236}">
                  <a16:creationId xmlns:a16="http://schemas.microsoft.com/office/drawing/2014/main" id="{D15D21F7-B635-4C7E-8AB8-9427651E7B4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 flipH="1">
              <a:off x="6512956" y="90195"/>
              <a:ext cx="1929101" cy="1476607"/>
            </a:xfrm>
            <a:prstGeom prst="rect">
              <a:avLst/>
            </a:prstGeom>
            <a:solidFill>
              <a:srgbClr val="FFFFFF">
                <a:shade val="85000"/>
              </a:srgbClr>
            </a:solidFill>
            <a:ln w="88900" cap="sq">
              <a:solidFill>
                <a:srgbClr val="FFFFFF"/>
              </a:solidFill>
              <a:miter lim="800000"/>
            </a:ln>
            <a:effectLst>
              <a:outerShdw blurRad="55000" dist="18000" dir="5400000" algn="tl" rotWithShape="0">
                <a:srgbClr val="000000">
                  <a:alpha val="40000"/>
                </a:srgbClr>
              </a:outerShdw>
            </a:effectLst>
            <a:scene3d>
              <a:camera prst="orthographicFront"/>
              <a:lightRig rig="twoPt" dir="t">
                <a:rot lat="0" lon="0" rev="7200000"/>
              </a:lightRig>
            </a:scene3d>
            <a:sp3d>
              <a:bevelT w="25400" h="19050" prst="relaxedInset"/>
              <a:contourClr>
                <a:srgbClr val="FFFFFF"/>
              </a:contourClr>
            </a:sp3d>
          </xdr:spPr>
        </xdr:pic>
      </xdr:grpSp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9FDF5BF9-AC68-DFF4-A5E9-7EF45CDB8C51}"/>
              </a:ext>
            </a:extLst>
          </xdr:cNvPr>
          <xdr:cNvSpPr/>
        </xdr:nvSpPr>
        <xdr:spPr>
          <a:xfrm>
            <a:off x="476250" y="190500"/>
            <a:ext cx="8420100" cy="1590675"/>
          </a:xfrm>
          <a:prstGeom prst="roundRect">
            <a:avLst>
              <a:gd name="adj" fmla="val 5374"/>
            </a:avLst>
          </a:prstGeom>
          <a:noFill/>
          <a:ln w="38100">
            <a:solidFill>
              <a:srgbClr val="DBB839"/>
            </a:solidFill>
          </a:ln>
          <a:effectLst>
            <a:glow rad="63500">
              <a:schemeClr val="accent2">
                <a:satMod val="175000"/>
                <a:alpha val="40000"/>
              </a:schemeClr>
            </a:glow>
          </a:effectLst>
          <a:scene3d>
            <a:camera prst="orthographicFront"/>
            <a:lightRig rig="threePt" dir="t"/>
          </a:scene3d>
          <a:sp3d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0</xdr:col>
      <xdr:colOff>257176</xdr:colOff>
      <xdr:row>17</xdr:row>
      <xdr:rowOff>114301</xdr:rowOff>
    </xdr:from>
    <xdr:to>
      <xdr:col>0</xdr:col>
      <xdr:colOff>1104900</xdr:colOff>
      <xdr:row>20</xdr:row>
      <xdr:rowOff>47625</xdr:rowOff>
    </xdr:to>
    <xdr:pic>
      <xdr:nvPicPr>
        <xdr:cNvPr id="21" name="Gráfico 20" descr="Cofrinho com preenchimento sólido">
          <a:extLst>
            <a:ext uri="{FF2B5EF4-FFF2-40B4-BE49-F238E27FC236}">
              <a16:creationId xmlns:a16="http://schemas.microsoft.com/office/drawing/2014/main" id="{F1271AB4-8478-59EA-739D-225F3A2D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7176" y="3857626"/>
          <a:ext cx="847724" cy="847724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11</xdr:row>
      <xdr:rowOff>209550</xdr:rowOff>
    </xdr:from>
    <xdr:to>
      <xdr:col>0</xdr:col>
      <xdr:colOff>1114425</xdr:colOff>
      <xdr:row>14</xdr:row>
      <xdr:rowOff>209550</xdr:rowOff>
    </xdr:to>
    <xdr:pic>
      <xdr:nvPicPr>
        <xdr:cNvPr id="23" name="Gráfico 22" descr="Melhoria contínua estrutura de tópicos">
          <a:extLst>
            <a:ext uri="{FF2B5EF4-FFF2-40B4-BE49-F238E27FC236}">
              <a16:creationId xmlns:a16="http://schemas.microsoft.com/office/drawing/2014/main" id="{CA09A2AF-C915-C7C5-7F1C-354FB95EA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00025" y="22383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24</xdr:row>
      <xdr:rowOff>257175</xdr:rowOff>
    </xdr:from>
    <xdr:to>
      <xdr:col>0</xdr:col>
      <xdr:colOff>1123950</xdr:colOff>
      <xdr:row>27</xdr:row>
      <xdr:rowOff>257175</xdr:rowOff>
    </xdr:to>
    <xdr:pic>
      <xdr:nvPicPr>
        <xdr:cNvPr id="25" name="Gráfico 24" descr="Sinal estrutura de tópicos">
          <a:extLst>
            <a:ext uri="{FF2B5EF4-FFF2-40B4-BE49-F238E27FC236}">
              <a16:creationId xmlns:a16="http://schemas.microsoft.com/office/drawing/2014/main" id="{3799029B-AEB2-79A8-B1BF-5FA341A11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209550" y="601980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35</xdr:row>
      <xdr:rowOff>104775</xdr:rowOff>
    </xdr:from>
    <xdr:to>
      <xdr:col>0</xdr:col>
      <xdr:colOff>1123950</xdr:colOff>
      <xdr:row>40</xdr:row>
      <xdr:rowOff>66675</xdr:rowOff>
    </xdr:to>
    <xdr:pic>
      <xdr:nvPicPr>
        <xdr:cNvPr id="3" name="Gráfico 2" descr="fluxo de trabalho estrutura de tópicos">
          <a:extLst>
            <a:ext uri="{FF2B5EF4-FFF2-40B4-BE49-F238E27FC236}">
              <a16:creationId xmlns:a16="http://schemas.microsoft.com/office/drawing/2014/main" id="{0B2137AD-9E61-FF26-C693-8D68779BB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209550" y="8658225"/>
          <a:ext cx="9144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D4048-6772-4230-AC72-5EA6077C6AB8}">
  <dimension ref="A1:I43"/>
  <sheetViews>
    <sheetView showGridLines="0" tabSelected="1" topLeftCell="A24" workbookViewId="0">
      <selection activeCell="A32" sqref="A32"/>
    </sheetView>
  </sheetViews>
  <sheetFormatPr defaultColWidth="0" defaultRowHeight="15" zeroHeight="1" x14ac:dyDescent="0.25"/>
  <cols>
    <col min="1" max="1" width="19.42578125" style="3" customWidth="1"/>
    <col min="2" max="2" width="43.85546875" style="2" customWidth="1"/>
    <col min="3" max="3" width="53" style="2" customWidth="1"/>
    <col min="4" max="4" width="17.28515625" style="2" customWidth="1"/>
    <col min="5" max="5" width="16.140625" style="3" customWidth="1"/>
    <col min="6" max="6" width="6.85546875" style="3" customWidth="1"/>
    <col min="7" max="8" width="6.85546875" style="2" hidden="1" customWidth="1"/>
    <col min="9" max="9" width="8.140625" style="2" hidden="1" customWidth="1"/>
    <col min="10" max="11" width="9.140625" style="2" hidden="1" customWidth="1"/>
    <col min="12" max="16384" width="9.140625" style="2" hidden="1"/>
  </cols>
  <sheetData>
    <row r="1" spans="2:4" s="3" customFormat="1" x14ac:dyDescent="0.25"/>
    <row r="2" spans="2:4" x14ac:dyDescent="0.25"/>
    <row r="3" spans="2:4" x14ac:dyDescent="0.25"/>
    <row r="4" spans="2:4" s="3" customFormat="1" x14ac:dyDescent="0.25"/>
    <row r="5" spans="2:4" s="3" customFormat="1" x14ac:dyDescent="0.25"/>
    <row r="6" spans="2:4" s="3" customFormat="1" x14ac:dyDescent="0.25"/>
    <row r="7" spans="2:4" s="3" customFormat="1" x14ac:dyDescent="0.25"/>
    <row r="8" spans="2:4" s="3" customFormat="1" x14ac:dyDescent="0.25"/>
    <row r="9" spans="2:4" s="3" customFormat="1" x14ac:dyDescent="0.25"/>
    <row r="10" spans="2:4" s="3" customFormat="1" x14ac:dyDescent="0.25"/>
    <row r="11" spans="2:4" s="3" customFormat="1" ht="9.75" customHeight="1" thickBot="1" x14ac:dyDescent="0.3"/>
    <row r="12" spans="2:4" ht="24" customHeight="1" thickBot="1" x14ac:dyDescent="0.3">
      <c r="B12" s="46" t="s">
        <v>12</v>
      </c>
      <c r="C12" s="47"/>
      <c r="D12" s="48"/>
    </row>
    <row r="13" spans="2:4" ht="24" customHeight="1" x14ac:dyDescent="0.25">
      <c r="B13" s="49" t="s">
        <v>13</v>
      </c>
      <c r="C13" s="50"/>
      <c r="D13" s="20">
        <v>4200</v>
      </c>
    </row>
    <row r="14" spans="2:4" ht="24" customHeight="1" x14ac:dyDescent="0.25">
      <c r="B14" s="51" t="s">
        <v>14</v>
      </c>
      <c r="C14" s="52"/>
      <c r="D14" s="21">
        <v>6.0000000000000001E-3</v>
      </c>
    </row>
    <row r="15" spans="2:4" ht="24" customHeight="1" thickBot="1" x14ac:dyDescent="0.3">
      <c r="B15" s="53" t="s">
        <v>33</v>
      </c>
      <c r="C15" s="54"/>
      <c r="D15" s="5">
        <f>D13*30%</f>
        <v>1260</v>
      </c>
    </row>
    <row r="16" spans="2:4" s="3" customFormat="1" ht="15" customHeight="1" thickBot="1" x14ac:dyDescent="0.3"/>
    <row r="17" spans="1:4" ht="24" customHeight="1" thickBot="1" x14ac:dyDescent="0.3">
      <c r="B17" s="41" t="s">
        <v>5</v>
      </c>
      <c r="C17" s="42"/>
      <c r="D17" s="43"/>
    </row>
    <row r="18" spans="1:4" ht="24" customHeight="1" x14ac:dyDescent="0.25">
      <c r="B18" s="55" t="s">
        <v>0</v>
      </c>
      <c r="C18" s="56"/>
      <c r="D18" s="17">
        <v>1260</v>
      </c>
    </row>
    <row r="19" spans="1:4" ht="24" customHeight="1" x14ac:dyDescent="0.25">
      <c r="B19" s="57" t="s">
        <v>1</v>
      </c>
      <c r="C19" s="58"/>
      <c r="D19" s="18">
        <v>10</v>
      </c>
    </row>
    <row r="20" spans="1:4" ht="24" customHeight="1" x14ac:dyDescent="0.25">
      <c r="B20" s="57" t="s">
        <v>2</v>
      </c>
      <c r="C20" s="58"/>
      <c r="D20" s="19">
        <v>1.0789999999999999E-2</v>
      </c>
    </row>
    <row r="21" spans="1:4" ht="24" customHeight="1" x14ac:dyDescent="0.25">
      <c r="B21" s="37" t="s">
        <v>4</v>
      </c>
      <c r="C21" s="38"/>
      <c r="D21" s="6">
        <f>FV(taxa_mensal,qtd_anos*12,aporte*-1)</f>
        <v>306538.10778801696</v>
      </c>
    </row>
    <row r="22" spans="1:4" ht="24" customHeight="1" thickBot="1" x14ac:dyDescent="0.3">
      <c r="B22" s="39" t="s">
        <v>3</v>
      </c>
      <c r="C22" s="40"/>
      <c r="D22" s="7">
        <f>patrimonio*rendimento_carteira</f>
        <v>1839.2286467281017</v>
      </c>
    </row>
    <row r="23" spans="1:4" s="3" customFormat="1" ht="15" customHeight="1" thickBot="1" x14ac:dyDescent="0.3"/>
    <row r="24" spans="1:4" ht="24" customHeight="1" thickBot="1" x14ac:dyDescent="0.3">
      <c r="B24" s="44" t="s">
        <v>6</v>
      </c>
      <c r="C24" s="45"/>
      <c r="D24" s="1" t="s">
        <v>15</v>
      </c>
    </row>
    <row r="25" spans="1:4" ht="24" customHeight="1" x14ac:dyDescent="0.25">
      <c r="A25" s="4">
        <v>2</v>
      </c>
      <c r="B25" s="8" t="s">
        <v>7</v>
      </c>
      <c r="C25" s="9">
        <f>FV($D$20,$A25*12,$D$18*-1)</f>
        <v>34306.810395032975</v>
      </c>
      <c r="D25" s="10">
        <f>C25*rendimento_carteira</f>
        <v>205.84086237019787</v>
      </c>
    </row>
    <row r="26" spans="1:4" ht="24" customHeight="1" x14ac:dyDescent="0.25">
      <c r="A26" s="4">
        <v>5</v>
      </c>
      <c r="B26" s="11" t="s">
        <v>8</v>
      </c>
      <c r="C26" s="12">
        <f>FV($D$20,$A26*12,$D$18*-1)</f>
        <v>105558.91163809443</v>
      </c>
      <c r="D26" s="13">
        <f>C26*rendimento_carteira</f>
        <v>633.35346982856663</v>
      </c>
    </row>
    <row r="27" spans="1:4" ht="24" customHeight="1" x14ac:dyDescent="0.25">
      <c r="A27" s="4">
        <v>10</v>
      </c>
      <c r="B27" s="11" t="s">
        <v>9</v>
      </c>
      <c r="C27" s="12">
        <f>FV($D$20,$A27*12,$D$18*-1)</f>
        <v>306538.10778801696</v>
      </c>
      <c r="D27" s="13">
        <f>C27*rendimento_carteira</f>
        <v>1839.2286467281017</v>
      </c>
    </row>
    <row r="28" spans="1:4" ht="24" customHeight="1" x14ac:dyDescent="0.25">
      <c r="A28" s="4">
        <v>20</v>
      </c>
      <c r="B28" s="11" t="s">
        <v>10</v>
      </c>
      <c r="C28" s="12">
        <f>FV($D$20,$A28*12,$D$18*-1)</f>
        <v>1417749.9841223215</v>
      </c>
      <c r="D28" s="13">
        <f>C28*rendimento_carteira</f>
        <v>8506.4999047339297</v>
      </c>
    </row>
    <row r="29" spans="1:4" ht="24" customHeight="1" thickBot="1" x14ac:dyDescent="0.3">
      <c r="A29" s="4">
        <v>30</v>
      </c>
      <c r="B29" s="14" t="s">
        <v>11</v>
      </c>
      <c r="C29" s="15">
        <f>FV($D$20,$A29*12,$D$18*-1)</f>
        <v>5445933.7653059401</v>
      </c>
      <c r="D29" s="16">
        <f>C29*rendimento_carteira</f>
        <v>32675.602591835643</v>
      </c>
    </row>
    <row r="30" spans="1:4" s="3" customFormat="1" x14ac:dyDescent="0.25"/>
    <row r="31" spans="1:4" s="3" customFormat="1" ht="15.75" thickBot="1" x14ac:dyDescent="0.3"/>
    <row r="32" spans="1:4" s="22" customFormat="1" ht="18.75" x14ac:dyDescent="0.3">
      <c r="B32" s="28" t="s">
        <v>16</v>
      </c>
      <c r="C32" s="29" t="s">
        <v>17</v>
      </c>
      <c r="D32" s="30"/>
    </row>
    <row r="33" spans="2:4" s="3" customFormat="1" ht="19.5" thickBot="1" x14ac:dyDescent="0.35">
      <c r="B33" s="31" t="s">
        <v>18</v>
      </c>
      <c r="C33" s="32">
        <f>aporte</f>
        <v>1260</v>
      </c>
      <c r="D33" s="33"/>
    </row>
    <row r="34" spans="2:4" s="3" customFormat="1" ht="15.75" thickBot="1" x14ac:dyDescent="0.3"/>
    <row r="35" spans="2:4" s="3" customFormat="1" x14ac:dyDescent="0.25">
      <c r="B35" s="34" t="s">
        <v>19</v>
      </c>
      <c r="C35" s="35" t="s">
        <v>20</v>
      </c>
      <c r="D35" s="36" t="s">
        <v>21</v>
      </c>
    </row>
    <row r="36" spans="2:4" s="3" customFormat="1" x14ac:dyDescent="0.25">
      <c r="B36" s="23" t="s">
        <v>22</v>
      </c>
      <c r="C36" s="25" t="str">
        <f>$C$32&amp;"-"&amp;B36</f>
        <v>Agressivo-PAPEL</v>
      </c>
      <c r="D36" s="62">
        <f>VLOOKUP(C36,Planilha2!B3:E20,4,FALSE)*$C$33</f>
        <v>630</v>
      </c>
    </row>
    <row r="37" spans="2:4" s="3" customFormat="1" x14ac:dyDescent="0.25">
      <c r="B37" s="23" t="s">
        <v>23</v>
      </c>
      <c r="C37" s="25" t="str">
        <f t="shared" ref="C37:C41" si="0">$C$32&amp;"-"&amp;B37</f>
        <v>Agressivo-TIJOLO</v>
      </c>
      <c r="D37" s="62">
        <f>VLOOKUP(C37,Planilha2!B4:E21,4,FALSE)*$C$33</f>
        <v>126</v>
      </c>
    </row>
    <row r="38" spans="2:4" s="3" customFormat="1" x14ac:dyDescent="0.25">
      <c r="B38" s="23" t="s">
        <v>24</v>
      </c>
      <c r="C38" s="25" t="str">
        <f t="shared" si="0"/>
        <v>Agressivo-HIBRIDOS</v>
      </c>
      <c r="D38" s="62">
        <f>VLOOKUP(C38,Planilha2!B5:E22,4,FALSE)*$C$33</f>
        <v>63</v>
      </c>
    </row>
    <row r="39" spans="2:4" s="3" customFormat="1" x14ac:dyDescent="0.25">
      <c r="B39" s="23" t="s">
        <v>25</v>
      </c>
      <c r="C39" s="25" t="str">
        <f t="shared" si="0"/>
        <v>Agressivo-FOFs</v>
      </c>
      <c r="D39" s="62">
        <f>VLOOKUP(C39,Planilha2!B6:E23,4,FALSE)*$C$33</f>
        <v>63</v>
      </c>
    </row>
    <row r="40" spans="2:4" s="3" customFormat="1" x14ac:dyDescent="0.25">
      <c r="B40" s="23" t="s">
        <v>26</v>
      </c>
      <c r="C40" s="25" t="str">
        <f t="shared" si="0"/>
        <v>Agressivo-DESENVOLVIMENTO</v>
      </c>
      <c r="D40" s="62">
        <f>VLOOKUP(C40,Planilha2!B7:E24,4,FALSE)*$C$33</f>
        <v>252</v>
      </c>
    </row>
    <row r="41" spans="2:4" s="3" customFormat="1" ht="15.75" thickBot="1" x14ac:dyDescent="0.3">
      <c r="B41" s="24" t="s">
        <v>32</v>
      </c>
      <c r="C41" s="25" t="str">
        <f t="shared" si="0"/>
        <v>Agressivo-HOTELARIAS</v>
      </c>
      <c r="D41" s="62">
        <f>VLOOKUP(C41,Planilha2!B8:E25,4,FALSE)*$C$33</f>
        <v>126</v>
      </c>
    </row>
    <row r="42" spans="2:4" s="3" customFormat="1" x14ac:dyDescent="0.25">
      <c r="B42" s="26"/>
      <c r="C42" s="27"/>
      <c r="D42" s="63">
        <f>SUM(D36:D41)</f>
        <v>1260</v>
      </c>
    </row>
    <row r="43" spans="2:4" s="3" customFormat="1" x14ac:dyDescent="0.25"/>
  </sheetData>
  <mergeCells count="11">
    <mergeCell ref="B21:C21"/>
    <mergeCell ref="B22:C22"/>
    <mergeCell ref="B17:D17"/>
    <mergeCell ref="B24:C24"/>
    <mergeCell ref="B12:D12"/>
    <mergeCell ref="B13:C13"/>
    <mergeCell ref="B14:C14"/>
    <mergeCell ref="B15:C15"/>
    <mergeCell ref="B18:C18"/>
    <mergeCell ref="B19:C19"/>
    <mergeCell ref="B20:C20"/>
  </mergeCells>
  <dataValidations count="1">
    <dataValidation type="list" allowBlank="1" showInputMessage="1" showErrorMessage="1" sqref="C32" xr:uid="{779C6E33-4C85-4B80-93D0-1462318C0D4D}">
      <formula1>"Agressivo,Moderado,Conservador"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ED71-20B4-45D6-A0E9-D2CADE7CB753}">
  <dimension ref="B2:E20"/>
  <sheetViews>
    <sheetView workbookViewId="0">
      <selection activeCell="J16" sqref="J16"/>
    </sheetView>
  </sheetViews>
  <sheetFormatPr defaultRowHeight="15" x14ac:dyDescent="0.25"/>
  <cols>
    <col min="2" max="2" width="30.85546875" bestFit="1" customWidth="1"/>
    <col min="3" max="3" width="14.42578125" customWidth="1"/>
    <col min="4" max="4" width="18.28515625" customWidth="1"/>
    <col min="5" max="5" width="14.140625" customWidth="1"/>
  </cols>
  <sheetData>
    <row r="2" spans="2:5" x14ac:dyDescent="0.25">
      <c r="B2" t="s">
        <v>28</v>
      </c>
      <c r="C2" t="s">
        <v>16</v>
      </c>
      <c r="D2" t="s">
        <v>29</v>
      </c>
      <c r="E2" t="s">
        <v>30</v>
      </c>
    </row>
    <row r="3" spans="2:5" x14ac:dyDescent="0.25">
      <c r="B3" t="str">
        <f>C3&amp;"-"&amp;D3</f>
        <v>Conservador-PAPEL</v>
      </c>
      <c r="C3" t="s">
        <v>27</v>
      </c>
      <c r="D3" t="s">
        <v>22</v>
      </c>
      <c r="E3" s="59">
        <v>0.3</v>
      </c>
    </row>
    <row r="4" spans="2:5" x14ac:dyDescent="0.25">
      <c r="B4" t="str">
        <f t="shared" ref="B4:B20" si="0">C4&amp;"-"&amp;D4</f>
        <v>Conservador-TIJOLO</v>
      </c>
      <c r="C4" t="s">
        <v>27</v>
      </c>
      <c r="D4" t="s">
        <v>23</v>
      </c>
      <c r="E4" s="59">
        <v>0.5</v>
      </c>
    </row>
    <row r="5" spans="2:5" x14ac:dyDescent="0.25">
      <c r="B5" t="str">
        <f t="shared" si="0"/>
        <v>Conservador-HIBRIDOS</v>
      </c>
      <c r="C5" t="s">
        <v>27</v>
      </c>
      <c r="D5" t="s">
        <v>24</v>
      </c>
      <c r="E5" s="59">
        <v>0.1</v>
      </c>
    </row>
    <row r="6" spans="2:5" x14ac:dyDescent="0.25">
      <c r="B6" t="str">
        <f t="shared" si="0"/>
        <v>Conservador-FOFs</v>
      </c>
      <c r="C6" t="s">
        <v>27</v>
      </c>
      <c r="D6" t="s">
        <v>25</v>
      </c>
      <c r="E6" s="59">
        <v>0.1</v>
      </c>
    </row>
    <row r="7" spans="2:5" x14ac:dyDescent="0.25">
      <c r="B7" t="str">
        <f t="shared" si="0"/>
        <v>Conservador-DESENVOLVIMENTO</v>
      </c>
      <c r="C7" t="s">
        <v>27</v>
      </c>
      <c r="D7" t="s">
        <v>26</v>
      </c>
      <c r="E7" s="59">
        <v>0</v>
      </c>
    </row>
    <row r="8" spans="2:5" x14ac:dyDescent="0.25">
      <c r="B8" t="str">
        <f t="shared" si="0"/>
        <v>Conservador-HOTELARIAS</v>
      </c>
      <c r="C8" t="s">
        <v>27</v>
      </c>
      <c r="D8" t="s">
        <v>32</v>
      </c>
      <c r="E8" s="59">
        <v>0</v>
      </c>
    </row>
    <row r="9" spans="2:5" x14ac:dyDescent="0.25">
      <c r="B9" t="str">
        <f t="shared" si="0"/>
        <v>Moderado-PAPEL</v>
      </c>
      <c r="C9" t="s">
        <v>31</v>
      </c>
      <c r="D9" t="s">
        <v>22</v>
      </c>
      <c r="E9" s="60">
        <v>0.32</v>
      </c>
    </row>
    <row r="10" spans="2:5" x14ac:dyDescent="0.25">
      <c r="B10" t="str">
        <f t="shared" si="0"/>
        <v>Moderado-TIJOLO</v>
      </c>
      <c r="C10" t="s">
        <v>31</v>
      </c>
      <c r="D10" t="s">
        <v>23</v>
      </c>
      <c r="E10" s="60">
        <v>0.35</v>
      </c>
    </row>
    <row r="11" spans="2:5" x14ac:dyDescent="0.25">
      <c r="B11" t="str">
        <f t="shared" si="0"/>
        <v>Moderado-HIBRIDOS</v>
      </c>
      <c r="C11" t="s">
        <v>31</v>
      </c>
      <c r="D11" t="s">
        <v>24</v>
      </c>
      <c r="E11" s="60">
        <v>0.08</v>
      </c>
    </row>
    <row r="12" spans="2:5" x14ac:dyDescent="0.25">
      <c r="B12" t="str">
        <f t="shared" si="0"/>
        <v>Moderado-FOFs</v>
      </c>
      <c r="C12" t="s">
        <v>31</v>
      </c>
      <c r="D12" t="s">
        <v>25</v>
      </c>
      <c r="E12" s="60">
        <v>0.05</v>
      </c>
    </row>
    <row r="13" spans="2:5" x14ac:dyDescent="0.25">
      <c r="B13" t="str">
        <f t="shared" si="0"/>
        <v>Moderado-DESENVOLVIMENTO</v>
      </c>
      <c r="C13" t="s">
        <v>31</v>
      </c>
      <c r="D13" t="s">
        <v>26</v>
      </c>
      <c r="E13" s="60">
        <v>0.1</v>
      </c>
    </row>
    <row r="14" spans="2:5" x14ac:dyDescent="0.25">
      <c r="B14" t="str">
        <f t="shared" si="0"/>
        <v>Moderado-HOTELARIAS</v>
      </c>
      <c r="C14" t="s">
        <v>31</v>
      </c>
      <c r="D14" t="s">
        <v>32</v>
      </c>
      <c r="E14" s="60">
        <v>0.1</v>
      </c>
    </row>
    <row r="15" spans="2:5" x14ac:dyDescent="0.25">
      <c r="B15" t="str">
        <f t="shared" si="0"/>
        <v>Agressivo-PAPEL</v>
      </c>
      <c r="C15" t="s">
        <v>17</v>
      </c>
      <c r="D15" t="s">
        <v>22</v>
      </c>
      <c r="E15" s="61">
        <v>0.5</v>
      </c>
    </row>
    <row r="16" spans="2:5" x14ac:dyDescent="0.25">
      <c r="B16" t="str">
        <f t="shared" si="0"/>
        <v>Agressivo-TIJOLO</v>
      </c>
      <c r="C16" t="s">
        <v>17</v>
      </c>
      <c r="D16" t="s">
        <v>23</v>
      </c>
      <c r="E16" s="61">
        <v>0.1</v>
      </c>
    </row>
    <row r="17" spans="2:5" x14ac:dyDescent="0.25">
      <c r="B17" t="str">
        <f t="shared" si="0"/>
        <v>Agressivo-HIBRIDOS</v>
      </c>
      <c r="C17" t="s">
        <v>17</v>
      </c>
      <c r="D17" t="s">
        <v>24</v>
      </c>
      <c r="E17" s="61">
        <v>0.05</v>
      </c>
    </row>
    <row r="18" spans="2:5" x14ac:dyDescent="0.25">
      <c r="B18" t="str">
        <f t="shared" si="0"/>
        <v>Agressivo-FOFs</v>
      </c>
      <c r="C18" t="s">
        <v>17</v>
      </c>
      <c r="D18" t="s">
        <v>25</v>
      </c>
      <c r="E18" s="61">
        <v>0.05</v>
      </c>
    </row>
    <row r="19" spans="2:5" x14ac:dyDescent="0.25">
      <c r="B19" t="str">
        <f t="shared" si="0"/>
        <v>Agressivo-DESENVOLVIMENTO</v>
      </c>
      <c r="C19" t="s">
        <v>17</v>
      </c>
      <c r="D19" t="s">
        <v>26</v>
      </c>
      <c r="E19" s="61">
        <v>0.2</v>
      </c>
    </row>
    <row r="20" spans="2:5" x14ac:dyDescent="0.25">
      <c r="B20" t="str">
        <f t="shared" si="0"/>
        <v>Agressivo-HOTELARIAS</v>
      </c>
      <c r="C20" t="s">
        <v>17</v>
      </c>
      <c r="D20" t="s">
        <v>32</v>
      </c>
      <c r="E20" s="61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Leachi</dc:creator>
  <cp:lastModifiedBy>Python</cp:lastModifiedBy>
  <dcterms:created xsi:type="dcterms:W3CDTF">2026-10-20T18:59:43Z</dcterms:created>
  <dcterms:modified xsi:type="dcterms:W3CDTF">2026-10-21T12:20:17Z</dcterms:modified>
</cp:coreProperties>
</file>